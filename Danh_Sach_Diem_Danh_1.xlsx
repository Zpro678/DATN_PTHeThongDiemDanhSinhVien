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iểm Danh" sheetId="1" state="visible" r:id="rId3"/>
    <sheet name="Chú thíc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<sst xmlns="http://schemas.openxmlformats.org/spreadsheetml/2006/main" count="570" uniqueCount="134">
  <si>
    <t xml:space="preserve">BÁO CÁO CHUYÊN CẦN SINH VIÊN</t>
  </si>
  <si>
    <t xml:space="preserve">Lớp:</t>
  </si>
  <si>
    <t xml:space="preserve">Trạng thái:</t>
  </si>
  <si>
    <t xml:space="preserve">Ngày xuất:</t>
  </si>
  <si>
    <t xml:space="preserve">Mã SV</t>
  </si>
  <si>
    <t xml:space="preserve">Họ và Tên</t>
  </si>
  <si>
    <t xml:space="preserve">Email</t>
  </si>
  <si>
    <t xml:space="preserve">22/06</t>
  </si>
  <si>
    <t xml:space="preserve">23/06</t>
  </si>
  <si>
    <t xml:space="preserve">24/06</t>
  </si>
  <si>
    <t xml:space="preserve">25/06</t>
  </si>
  <si>
    <t xml:space="preserve">26/06</t>
  </si>
  <si>
    <t xml:space="preserve">27/06</t>
  </si>
  <si>
    <t xml:space="preserve">28/06</t>
  </si>
  <si>
    <t xml:space="preserve">29/06</t>
  </si>
  <si>
    <t xml:space="preserve">30/06</t>
  </si>
  <si>
    <t xml:space="preserve">01/07</t>
  </si>
  <si>
    <t xml:space="preserve">02/07</t>
  </si>
  <si>
    <t xml:space="preserve">03/07</t>
  </si>
  <si>
    <t xml:space="preserve">04/07</t>
  </si>
  <si>
    <t xml:space="preserve">05/07</t>
  </si>
  <si>
    <t xml:space="preserve">06/07</t>
  </si>
  <si>
    <t xml:space="preserve">Số buổi có mặt</t>
  </si>
  <si>
    <t xml:space="preserve">Số buổi muộn</t>
  </si>
  <si>
    <t xml:space="preserve">Số buổi vắng phép</t>
  </si>
  <si>
    <t xml:space="preserve">Số buổi vắng KP</t>
  </si>
  <si>
    <t xml:space="preserve">Tỉ lệ tham dự</t>
  </si>
  <si>
    <t xml:space="preserve">Chuyên Cần (%)</t>
  </si>
  <si>
    <t xml:space="preserve">SV001</t>
  </si>
  <si>
    <t xml:space="preserve">Nguyễn Văn An</t>
  </si>
  <si>
    <t xml:space="preserve">an.nv@student.edu.vn</t>
  </si>
  <si>
    <t xml:space="preserve">c</t>
  </si>
  <si>
    <t xml:space="preserve">k</t>
  </si>
  <si>
    <t xml:space="preserve">v</t>
  </si>
  <si>
    <t xml:space="preserve">SV002</t>
  </si>
  <si>
    <t xml:space="preserve">Trần Thị Bình</t>
  </si>
  <si>
    <t xml:space="preserve">binh.tt@student.edu.vn</t>
  </si>
  <si>
    <t xml:space="preserve">SV003</t>
  </si>
  <si>
    <t xml:space="preserve">Lê Hoàng Cường</t>
  </si>
  <si>
    <t xml:space="preserve">cong.lh@student.edu.vn</t>
  </si>
  <si>
    <t xml:space="preserve">SV004</t>
  </si>
  <si>
    <t xml:space="preserve">Phạm Minh Đức</t>
  </si>
  <si>
    <t xml:space="preserve">duc.pm@student.edu.vn</t>
  </si>
  <si>
    <t xml:space="preserve">SV006</t>
  </si>
  <si>
    <t xml:space="preserve">Phan Văn Gia</t>
  </si>
  <si>
    <t xml:space="preserve">gia.pv@student.edu.vn</t>
  </si>
  <si>
    <t xml:space="preserve">SV007</t>
  </si>
  <si>
    <t xml:space="preserve">Hoàng Thị Hạnh</t>
  </si>
  <si>
    <t xml:space="preserve">hanh.ht@student.edu.vn</t>
  </si>
  <si>
    <t xml:space="preserve">SV008</t>
  </si>
  <si>
    <t xml:space="preserve">Bùi Minh Tuấn</t>
  </si>
  <si>
    <t xml:space="preserve">tuan.bm@student.edu.vn</t>
  </si>
  <si>
    <t xml:space="preserve">SV009</t>
  </si>
  <si>
    <t xml:space="preserve">Đặng Thiện Nhân</t>
  </si>
  <si>
    <t xml:space="preserve">nhan.dt@student.edu.vn</t>
  </si>
  <si>
    <t xml:space="preserve">SV010</t>
  </si>
  <si>
    <t xml:space="preserve">Đỗ Thúy Vy</t>
  </si>
  <si>
    <t xml:space="preserve">vy.dt@student.edu.vn</t>
  </si>
  <si>
    <t xml:space="preserve">SV011</t>
  </si>
  <si>
    <t xml:space="preserve">Ngô Quốc Bảo</t>
  </si>
  <si>
    <t xml:space="preserve">bao.nq@student.edu.vn</t>
  </si>
  <si>
    <t xml:space="preserve">SV012</t>
  </si>
  <si>
    <t xml:space="preserve">Dương Minh Khang</t>
  </si>
  <si>
    <t xml:space="preserve">khang.dm@student.edu.vn</t>
  </si>
  <si>
    <t xml:space="preserve">SV013</t>
  </si>
  <si>
    <t xml:space="preserve">Lý Thị Mai</t>
  </si>
  <si>
    <t xml:space="preserve">mai.lt@student.edu.vn</t>
  </si>
  <si>
    <t xml:space="preserve">SV014</t>
  </si>
  <si>
    <t xml:space="preserve">Bùi Văn Nam</t>
  </si>
  <si>
    <t xml:space="preserve">nam.bv@student.edu.vn</t>
  </si>
  <si>
    <t xml:space="preserve">SV015</t>
  </si>
  <si>
    <t xml:space="preserve">Võ Thị Oanh</t>
  </si>
  <si>
    <t xml:space="preserve">oanh.vt@student.edu.vn</t>
  </si>
  <si>
    <t xml:space="preserve">SV016</t>
  </si>
  <si>
    <t xml:space="preserve">Nguyễn Triệu Phát</t>
  </si>
  <si>
    <t xml:space="preserve">phat.nt@student.edu.vn</t>
  </si>
  <si>
    <t xml:space="preserve">SV017</t>
  </si>
  <si>
    <t xml:space="preserve">Trần Văn Quân</t>
  </si>
  <si>
    <t xml:space="preserve">quan.tv@student.edu.vn</t>
  </si>
  <si>
    <t xml:space="preserve">SV018</t>
  </si>
  <si>
    <t xml:space="preserve">Lê Minh Tâm</t>
  </si>
  <si>
    <t xml:space="preserve">tam.lm@student.edu.vn</t>
  </si>
  <si>
    <t xml:space="preserve">SV019</t>
  </si>
  <si>
    <t xml:space="preserve">Phạm Đức Thắng</t>
  </si>
  <si>
    <t xml:space="preserve">thang.pd@student.edu.vn</t>
  </si>
  <si>
    <t xml:space="preserve">SV020</t>
  </si>
  <si>
    <t xml:space="preserve">Nguyễn Thị Uyên</t>
  </si>
  <si>
    <t xml:space="preserve">uyen.nt@student.edu.vn</t>
  </si>
  <si>
    <t xml:space="preserve">SV021</t>
  </si>
  <si>
    <t xml:space="preserve">Phan Văn Xuân</t>
  </si>
  <si>
    <t xml:space="preserve">xuan.pv@student.edu.vn</t>
  </si>
  <si>
    <t xml:space="preserve">SV022</t>
  </si>
  <si>
    <t xml:space="preserve">Hoàng Đức Yến</t>
  </si>
  <si>
    <t xml:space="preserve">yen.hd@student.edu.vn</t>
  </si>
  <si>
    <t xml:space="preserve">SV023</t>
  </si>
  <si>
    <t xml:space="preserve">Đặng Văn Hoàng</t>
  </si>
  <si>
    <t xml:space="preserve">hoang.dv@student.edu.vn</t>
  </si>
  <si>
    <t xml:space="preserve">SV024</t>
  </si>
  <si>
    <t xml:space="preserve">Đỗ Minh Trí</t>
  </si>
  <si>
    <t xml:space="preserve">tri.dm@student.edu.vn</t>
  </si>
  <si>
    <t xml:space="preserve">SV025</t>
  </si>
  <si>
    <t xml:space="preserve">Ngô Thị Thanh</t>
  </si>
  <si>
    <t xml:space="preserve">thanh.nt@student.edu.vn</t>
  </si>
  <si>
    <t xml:space="preserve">SV026</t>
  </si>
  <si>
    <t xml:space="preserve">Dương Văn Tùng</t>
  </si>
  <si>
    <t xml:space="preserve">tung.dv@student.edu.vn</t>
  </si>
  <si>
    <t xml:space="preserve">SV027</t>
  </si>
  <si>
    <t xml:space="preserve">Lý Minh Triết</t>
  </si>
  <si>
    <t xml:space="preserve">triet.lm@student.edu.vn</t>
  </si>
  <si>
    <t xml:space="preserve">SV028</t>
  </si>
  <si>
    <t xml:space="preserve">Võ Văn Đạt</t>
  </si>
  <si>
    <t xml:space="preserve">dat.vv@student.edu.vn</t>
  </si>
  <si>
    <t xml:space="preserve">SV029</t>
  </si>
  <si>
    <t xml:space="preserve">Nguyễn Tấn Lộc</t>
  </si>
  <si>
    <t xml:space="preserve">loc.nt@student.edu.vn</t>
  </si>
  <si>
    <t xml:space="preserve">SV030</t>
  </si>
  <si>
    <t xml:space="preserve">Trần Chí Kiên</t>
  </si>
  <si>
    <t xml:space="preserve">kien.tc@student.edu.vn</t>
  </si>
  <si>
    <t xml:space="preserve">TỔNG KẾT LỚP</t>
  </si>
  <si>
    <t xml:space="preserve">TB có mặt</t>
  </si>
  <si>
    <t xml:space="preserve">TB muộn</t>
  </si>
  <si>
    <t xml:space="preserve">TB vắng KP</t>
  </si>
  <si>
    <t xml:space="preserve">TB chuyên cần</t>
  </si>
  <si>
    <t xml:space="preserve">Ký hiệu</t>
  </si>
  <si>
    <t xml:space="preserve">Ý nghĩa</t>
  </si>
  <si>
    <t xml:space="preserve">Ảnh hưởng chuyên cần</t>
  </si>
  <si>
    <t xml:space="preserve">Có mặt</t>
  </si>
  <si>
    <t xml:space="preserve">Tính đủ 1 buổi</t>
  </si>
  <si>
    <t xml:space="preserve">m</t>
  </si>
  <si>
    <t xml:space="preserve">Đi muộn</t>
  </si>
  <si>
    <t xml:space="preserve">Tính đủ 1 buổi (không trừ)</t>
  </si>
  <si>
    <t xml:space="preserve">Vắng có phép</t>
  </si>
  <si>
    <t xml:space="preserve">Vắng không phép</t>
  </si>
  <si>
    <t xml:space="preserve">Trừ 1 buổi chuyên cần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</si>
</sst>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70C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030A0"/>
        <bgColor rgb="FF993366"/>
      </patternFill>
    </fill>
    <fill>
      <patternFill patternType="solid">
        <fgColor rgb="FFC6EFCE"/>
        <bgColor rgb="FFDDEEFF"/>
      </patternFill>
    </fill>
    <fill>
      <patternFill patternType="solid">
        <fgColor rgb="FFFFCCCC"/>
        <bgColor rgb="FFF3E5F5"/>
      </patternFill>
    </fill>
    <fill>
      <patternFill patternType="solid">
        <fgColor rgb="FFFFEB9C"/>
        <bgColor rgb="FFFFCCCC"/>
      </patternFill>
    </fill>
    <fill>
      <patternFill patternType="solid">
        <fgColor rgb="FFF3E5F5"/>
        <bgColor rgb="FFEDE7F6"/>
      </patternFill>
    </fill>
    <fill>
      <patternFill patternType="solid">
        <fgColor rgb="FFDDEEFF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F4B942"/>
        <bgColor rgb="FFFF9900"/>
      </patternFill>
    </fill>
    <fill>
      <patternFill patternType="solid">
        <fgColor rgb="FFBDD7EE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7030A0"/>
      <rgbColor rgb="FFF3E5F5"/>
      <rgbColor rgb="FFDDEE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4B942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17" min="3" style="1" width="28"/>
    <col collapsed="false" customWidth="true" hidden="false" outlineLevel="0" max="23" min="18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9.5" hidden="false" customHeight="true" outlineLevel="0" collapsed="false">
      <c r="A2" s="3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9.5" hidden="false" customHeight="true" outlineLevel="0" collapsed="false">
      <c r="A3" s="3" t="s">
        <v>2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9.5" hidden="false" customHeight="true" outlineLevel="0" collapsed="false">
      <c r="A4" s="3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7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39.75" hidden="false" customHeight="true" outlineLevel="0" collapsed="false">
      <c r="A6" s="5" t="s">
        <v>4</v>
      </c>
      <c r="B6" s="5" t="s">
        <v>5</v>
      </c>
      <c r="C6" s="6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7" t="s">
        <v>27</v>
      </c>
    </row>
    <row r="7" customFormat="false" ht="18" hidden="false" customHeight="true" outlineLevel="0" collapsed="false">
      <c r="A7" s="8" t="s">
        <v>28</v>
      </c>
      <c r="B7" s="9" t="s">
        <v>29</v>
      </c>
      <c r="C7" s="10" t="s">
        <v>30</v>
      </c>
      <c r="D7" s="11" t="s">
        <v>31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31</v>
      </c>
      <c r="M7" s="11" t="s">
        <v>31</v>
      </c>
      <c r="N7" s="11" t="s">
        <v>31</v>
      </c>
      <c r="O7" s="12" t="s">
        <v>32</v>
      </c>
      <c r="P7" s="13" t="s">
        <v>33</v>
      </c>
      <c r="Q7" s="11" t="s">
        <v>31</v>
      </c>
      <c r="R7" s="11" t="s">
        <v>31</v>
      </c>
      <c r="S7" s="8" t="n">
        <f aca="false">COUNTIF(C7:Q7,"c")</f>
        <v>12</v>
      </c>
      <c r="T7" s="8" t="n">
        <f aca="false">COUNTIF(C7:Q7,"m")</f>
        <v>0</v>
      </c>
      <c r="U7" s="8" t="n">
        <f aca="false">COUNTIF(C7:Q7,"v")</f>
        <v>1</v>
      </c>
      <c r="V7" s="8" t="n">
        <f aca="false">COUNTIF(C7:Q7,"k")</f>
        <v>1</v>
      </c>
      <c r="W7" s="14" t="n">
        <f aca="false">IFERROR((COUNTIF(C7:Q7,"c")+COUNTIF(C7:Q7,"m")+COUNTIF(C7:Q7,"v"))/15,0)</f>
        <v>0.866666666666667</v>
      </c>
      <c r="X7" s="15" t="n">
        <f aca="false">IFERROR((COUNTIF(C7:Q7,"c")+COUNTIF(C7:Q7,"m")+COUNTIF(C7:Q7,"v"))/15,0)</f>
        <v>0.866666666666667</v>
      </c>
    </row>
    <row r="8" customFormat="false" ht="18" hidden="false" customHeight="true" outlineLevel="0" collapsed="false">
      <c r="A8" s="16" t="s">
        <v>34</v>
      </c>
      <c r="B8" s="17" t="s">
        <v>35</v>
      </c>
      <c r="C8" s="18" t="s">
        <v>36</v>
      </c>
      <c r="D8" s="11" t="s">
        <v>31</v>
      </c>
      <c r="E8" s="11" t="s">
        <v>31</v>
      </c>
      <c r="F8" s="11" t="s">
        <v>31</v>
      </c>
      <c r="G8" s="11" t="s">
        <v>31</v>
      </c>
      <c r="H8" s="11" t="s">
        <v>31</v>
      </c>
      <c r="I8" s="11" t="s">
        <v>31</v>
      </c>
      <c r="J8" s="11" t="s">
        <v>31</v>
      </c>
      <c r="K8" s="11" t="s">
        <v>31</v>
      </c>
      <c r="L8" s="11" t="s">
        <v>31</v>
      </c>
      <c r="M8" s="13" t="s">
        <v>33</v>
      </c>
      <c r="N8" s="13" t="s">
        <v>33</v>
      </c>
      <c r="O8" s="11" t="s">
        <v>31</v>
      </c>
      <c r="P8" s="11" t="s">
        <v>31</v>
      </c>
      <c r="Q8" s="11" t="s">
        <v>31</v>
      </c>
      <c r="R8" s="11" t="s">
        <v>31</v>
      </c>
      <c r="S8" s="16" t="n">
        <f aca="false">COUNTIF(C8:Q8,"c")</f>
        <v>12</v>
      </c>
      <c r="T8" s="16" t="n">
        <f aca="false">COUNTIF(C8:Q8,"m")</f>
        <v>0</v>
      </c>
      <c r="U8" s="16" t="n">
        <f aca="false">COUNTIF(C8:Q8,"v")</f>
        <v>2</v>
      </c>
      <c r="V8" s="16" t="n">
        <f aca="false">COUNTIF(C8:Q8,"k")</f>
        <v>0</v>
      </c>
      <c r="W8" s="19" t="n">
        <f aca="false">IFERROR((COUNTIF(C8:Q8,"c")+COUNTIF(C8:Q8,"m")+COUNTIF(C8:Q8,"v"))/15,0)</f>
        <v>0.933333333333333</v>
      </c>
      <c r="X8" s="20" t="n">
        <f aca="false">IFERROR((COUNTIF(C8:Q8,"c")+COUNTIF(C8:Q8,"m")+COUNTIF(C8:Q8,"v"))/15,0)</f>
        <v>0.933333333333333</v>
      </c>
    </row>
    <row r="9" customFormat="false" ht="18" hidden="false" customHeight="true" outlineLevel="0" collapsed="false">
      <c r="A9" s="8" t="s">
        <v>37</v>
      </c>
      <c r="B9" s="9" t="s">
        <v>38</v>
      </c>
      <c r="C9" s="10" t="s">
        <v>39</v>
      </c>
      <c r="D9" s="12" t="s">
        <v>32</v>
      </c>
      <c r="E9" s="11" t="s">
        <v>31</v>
      </c>
      <c r="F9" s="11" t="s">
        <v>31</v>
      </c>
      <c r="G9" s="12" t="s">
        <v>32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31</v>
      </c>
      <c r="M9" s="11" t="s">
        <v>31</v>
      </c>
      <c r="N9" s="11" t="s">
        <v>31</v>
      </c>
      <c r="O9" s="11" t="s">
        <v>31</v>
      </c>
      <c r="P9" s="11" t="s">
        <v>31</v>
      </c>
      <c r="Q9" s="11" t="s">
        <v>31</v>
      </c>
      <c r="R9" s="11" t="s">
        <v>31</v>
      </c>
      <c r="S9" s="8" t="n">
        <f aca="false">COUNTIF(C9:Q9,"c")</f>
        <v>12</v>
      </c>
      <c r="T9" s="8" t="n">
        <f aca="false">COUNTIF(C9:Q9,"m")</f>
        <v>0</v>
      </c>
      <c r="U9" s="8" t="n">
        <f aca="false">COUNTIF(C9:Q9,"v")</f>
        <v>0</v>
      </c>
      <c r="V9" s="8" t="n">
        <f aca="false">COUNTIF(C9:Q9,"k")</f>
        <v>2</v>
      </c>
      <c r="W9" s="14" t="n">
        <f aca="false">IFERROR((COUNTIF(C9:Q9,"c")+COUNTIF(C9:Q9,"m")+COUNTIF(C9:Q9,"v"))/15,0)</f>
        <v>0.8</v>
      </c>
      <c r="X9" s="15" t="n">
        <f aca="false">IFERROR((COUNTIF(C9:Q9,"c")+COUNTIF(C9:Q9,"m")+COUNTIF(C9:Q9,"v"))/15,0)</f>
        <v>0.8</v>
      </c>
    </row>
    <row r="10" customFormat="false" ht="18" hidden="false" customHeight="true" outlineLevel="0" collapsed="false">
      <c r="A10" s="16" t="s">
        <v>40</v>
      </c>
      <c r="B10" s="17" t="s">
        <v>41</v>
      </c>
      <c r="C10" s="18" t="s">
        <v>42</v>
      </c>
      <c r="D10" s="11" t="s">
        <v>31</v>
      </c>
      <c r="E10" s="11" t="s">
        <v>31</v>
      </c>
      <c r="F10" s="11" t="s">
        <v>31</v>
      </c>
      <c r="G10" s="11" t="s">
        <v>31</v>
      </c>
      <c r="H10" s="11" t="s">
        <v>31</v>
      </c>
      <c r="I10" s="11" t="s">
        <v>31</v>
      </c>
      <c r="J10" s="11" t="s">
        <v>31</v>
      </c>
      <c r="K10" s="11" t="s">
        <v>31</v>
      </c>
      <c r="L10" s="11" t="s">
        <v>31</v>
      </c>
      <c r="M10" s="11" t="s">
        <v>31</v>
      </c>
      <c r="N10" s="11" t="s">
        <v>31</v>
      </c>
      <c r="O10" s="11" t="s">
        <v>31</v>
      </c>
      <c r="P10" s="11" t="s">
        <v>31</v>
      </c>
      <c r="Q10" s="12" t="s">
        <v>32</v>
      </c>
      <c r="R10" s="11" t="s">
        <v>31</v>
      </c>
      <c r="S10" s="16" t="n">
        <f aca="false">COUNTIF(C10:Q10,"c")</f>
        <v>13</v>
      </c>
      <c r="T10" s="16" t="n">
        <f aca="false">COUNTIF(C10:Q10,"m")</f>
        <v>0</v>
      </c>
      <c r="U10" s="16" t="n">
        <f aca="false">COUNTIF(C10:Q10,"v")</f>
        <v>0</v>
      </c>
      <c r="V10" s="16" t="n">
        <f aca="false">COUNTIF(C10:Q10,"k")</f>
        <v>1</v>
      </c>
      <c r="W10" s="19" t="n">
        <f aca="false">IFERROR((COUNTIF(C10:Q10,"c")+COUNTIF(C10:Q10,"m")+COUNTIF(C10:Q10,"v"))/15,0)</f>
        <v>0.866666666666667</v>
      </c>
      <c r="X10" s="20" t="n">
        <f aca="false">IFERROR((COUNTIF(C10:Q10,"c")+COUNTIF(C10:Q10,"m")+COUNTIF(C10:Q10,"v"))/15,0)</f>
        <v>0.866666666666667</v>
      </c>
    </row>
    <row r="11" customFormat="false" ht="18" hidden="false" customHeight="true" outlineLevel="0" collapsed="false">
      <c r="A11" s="8" t="s">
        <v>43</v>
      </c>
      <c r="B11" s="9" t="s">
        <v>44</v>
      </c>
      <c r="C11" s="10" t="s">
        <v>45</v>
      </c>
      <c r="D11" s="11" t="s">
        <v>31</v>
      </c>
      <c r="E11" s="11" t="s">
        <v>31</v>
      </c>
      <c r="F11" s="11" t="s">
        <v>31</v>
      </c>
      <c r="G11" s="11" t="s">
        <v>31</v>
      </c>
      <c r="H11" s="11" t="s">
        <v>31</v>
      </c>
      <c r="I11" s="11" t="s">
        <v>31</v>
      </c>
      <c r="J11" s="11" t="s">
        <v>31</v>
      </c>
      <c r="K11" s="11" t="s">
        <v>31</v>
      </c>
      <c r="L11" s="11" t="s">
        <v>31</v>
      </c>
      <c r="M11" s="11" t="s">
        <v>31</v>
      </c>
      <c r="N11" s="11" t="s">
        <v>31</v>
      </c>
      <c r="O11" s="12" t="s">
        <v>32</v>
      </c>
      <c r="P11" s="11" t="s">
        <v>31</v>
      </c>
      <c r="Q11" s="11" t="s">
        <v>31</v>
      </c>
      <c r="R11" s="11" t="s">
        <v>31</v>
      </c>
      <c r="S11" s="8" t="n">
        <f aca="false">COUNTIF(C11:Q11,"c")</f>
        <v>13</v>
      </c>
      <c r="T11" s="8" t="n">
        <f aca="false">COUNTIF(C11:Q11,"m")</f>
        <v>0</v>
      </c>
      <c r="U11" s="8" t="n">
        <f aca="false">COUNTIF(C11:Q11,"v")</f>
        <v>0</v>
      </c>
      <c r="V11" s="8" t="n">
        <f aca="false">COUNTIF(C11:Q11,"k")</f>
        <v>1</v>
      </c>
      <c r="W11" s="14" t="n">
        <f aca="false">IFERROR((COUNTIF(C11:Q11,"c")+COUNTIF(C11:Q11,"m")+COUNTIF(C11:Q11,"v"))/15,0)</f>
        <v>0.866666666666667</v>
      </c>
      <c r="X11" s="15" t="n">
        <f aca="false">IFERROR((COUNTIF(C11:Q11,"c")+COUNTIF(C11:Q11,"m")+COUNTIF(C11:Q11,"v"))/15,0)</f>
        <v>0.866666666666667</v>
      </c>
    </row>
    <row r="12" customFormat="false" ht="18" hidden="false" customHeight="true" outlineLevel="0" collapsed="false">
      <c r="A12" s="16" t="s">
        <v>46</v>
      </c>
      <c r="B12" s="17" t="s">
        <v>47</v>
      </c>
      <c r="C12" s="18" t="s">
        <v>48</v>
      </c>
      <c r="D12" s="11" t="s">
        <v>31</v>
      </c>
      <c r="E12" s="11" t="s">
        <v>31</v>
      </c>
      <c r="F12" s="11" t="s">
        <v>31</v>
      </c>
      <c r="G12" s="11" t="s">
        <v>31</v>
      </c>
      <c r="H12" s="11" t="s">
        <v>31</v>
      </c>
      <c r="I12" s="11" t="s">
        <v>31</v>
      </c>
      <c r="J12" s="11" t="s">
        <v>31</v>
      </c>
      <c r="K12" s="11" t="s">
        <v>31</v>
      </c>
      <c r="L12" s="11" t="s">
        <v>31</v>
      </c>
      <c r="M12" s="13" t="s">
        <v>33</v>
      </c>
      <c r="N12" s="11" t="s">
        <v>31</v>
      </c>
      <c r="O12" s="11" t="s">
        <v>31</v>
      </c>
      <c r="P12" s="11" t="s">
        <v>31</v>
      </c>
      <c r="Q12" s="11" t="s">
        <v>31</v>
      </c>
      <c r="R12" s="11" t="s">
        <v>31</v>
      </c>
      <c r="S12" s="16" t="n">
        <f aca="false">COUNTIF(C12:Q12,"c")</f>
        <v>13</v>
      </c>
      <c r="T12" s="16" t="n">
        <f aca="false">COUNTIF(C12:Q12,"m")</f>
        <v>0</v>
      </c>
      <c r="U12" s="16" t="n">
        <f aca="false">COUNTIF(C12:Q12,"v")</f>
        <v>1</v>
      </c>
      <c r="V12" s="16" t="n">
        <f aca="false">COUNTIF(C12:Q12,"k")</f>
        <v>0</v>
      </c>
      <c r="W12" s="19" t="n">
        <f aca="false">IFERROR((COUNTIF(C12:Q12,"c")+COUNTIF(C12:Q12,"m")+COUNTIF(C12:Q12,"v"))/15,0)</f>
        <v>0.933333333333333</v>
      </c>
      <c r="X12" s="20" t="n">
        <f aca="false">IFERROR((COUNTIF(C12:Q12,"c")+COUNTIF(C12:Q12,"m")+COUNTIF(C12:Q12,"v"))/15,0)</f>
        <v>0.933333333333333</v>
      </c>
    </row>
    <row r="13" customFormat="false" ht="18" hidden="false" customHeight="true" outlineLevel="0" collapsed="false">
      <c r="A13" s="8" t="s">
        <v>49</v>
      </c>
      <c r="B13" s="9" t="s">
        <v>50</v>
      </c>
      <c r="C13" s="10" t="s">
        <v>51</v>
      </c>
      <c r="D13" s="11" t="s">
        <v>31</v>
      </c>
      <c r="E13" s="11" t="s">
        <v>31</v>
      </c>
      <c r="F13" s="11" t="s">
        <v>31</v>
      </c>
      <c r="G13" s="13" t="s">
        <v>33</v>
      </c>
      <c r="H13" s="11" t="s">
        <v>31</v>
      </c>
      <c r="I13" s="11" t="s">
        <v>31</v>
      </c>
      <c r="J13" s="11" t="s">
        <v>31</v>
      </c>
      <c r="K13" s="11" t="s">
        <v>31</v>
      </c>
      <c r="L13" s="11" t="s">
        <v>31</v>
      </c>
      <c r="M13" s="11" t="s">
        <v>31</v>
      </c>
      <c r="N13" s="12" t="s">
        <v>32</v>
      </c>
      <c r="O13" s="11" t="s">
        <v>31</v>
      </c>
      <c r="P13" s="11" t="s">
        <v>31</v>
      </c>
      <c r="Q13" s="11" t="s">
        <v>31</v>
      </c>
      <c r="R13" s="12" t="s">
        <v>32</v>
      </c>
      <c r="S13" s="8" t="n">
        <f aca="false">COUNTIF(C13:Q13,"c")</f>
        <v>12</v>
      </c>
      <c r="T13" s="8" t="n">
        <f aca="false">COUNTIF(C13:Q13,"m")</f>
        <v>0</v>
      </c>
      <c r="U13" s="8" t="n">
        <f aca="false">COUNTIF(C13:Q13,"v")</f>
        <v>1</v>
      </c>
      <c r="V13" s="8" t="n">
        <f aca="false">COUNTIF(C13:Q13,"k")</f>
        <v>1</v>
      </c>
      <c r="W13" s="14" t="n">
        <f aca="false">IFERROR((COUNTIF(C13:Q13,"c")+COUNTIF(C13:Q13,"m")+COUNTIF(C13:Q13,"v"))/15,0)</f>
        <v>0.866666666666667</v>
      </c>
      <c r="X13" s="15" t="n">
        <f aca="false">IFERROR((COUNTIF(C13:Q13,"c")+COUNTIF(C13:Q13,"m")+COUNTIF(C13:Q13,"v"))/15,0)</f>
        <v>0.866666666666667</v>
      </c>
    </row>
    <row r="14" customFormat="false" ht="18" hidden="false" customHeight="true" outlineLevel="0" collapsed="false">
      <c r="A14" s="16" t="s">
        <v>52</v>
      </c>
      <c r="B14" s="17" t="s">
        <v>53</v>
      </c>
      <c r="C14" s="18" t="s">
        <v>54</v>
      </c>
      <c r="D14" s="11" t="s">
        <v>31</v>
      </c>
      <c r="E14" s="11" t="s">
        <v>31</v>
      </c>
      <c r="F14" s="11" t="s">
        <v>31</v>
      </c>
      <c r="G14" s="11" t="s">
        <v>31</v>
      </c>
      <c r="H14" s="11" t="s">
        <v>31</v>
      </c>
      <c r="I14" s="11" t="s">
        <v>31</v>
      </c>
      <c r="J14" s="11" t="s">
        <v>31</v>
      </c>
      <c r="K14" s="11" t="s">
        <v>31</v>
      </c>
      <c r="L14" s="11" t="s">
        <v>31</v>
      </c>
      <c r="M14" s="13" t="s">
        <v>33</v>
      </c>
      <c r="N14" s="11" t="s">
        <v>31</v>
      </c>
      <c r="O14" s="11" t="s">
        <v>31</v>
      </c>
      <c r="P14" s="11" t="s">
        <v>31</v>
      </c>
      <c r="Q14" s="12" t="s">
        <v>32</v>
      </c>
      <c r="R14" s="11" t="s">
        <v>31</v>
      </c>
      <c r="S14" s="16" t="n">
        <f aca="false">COUNTIF(C14:Q14,"c")</f>
        <v>12</v>
      </c>
      <c r="T14" s="16" t="n">
        <f aca="false">COUNTIF(C14:Q14,"m")</f>
        <v>0</v>
      </c>
      <c r="U14" s="16" t="n">
        <f aca="false">COUNTIF(C14:Q14,"v")</f>
        <v>1</v>
      </c>
      <c r="V14" s="16" t="n">
        <f aca="false">COUNTIF(C14:Q14,"k")</f>
        <v>1</v>
      </c>
      <c r="W14" s="19" t="n">
        <f aca="false">IFERROR((COUNTIF(C14:Q14,"c")+COUNTIF(C14:Q14,"m")+COUNTIF(C14:Q14,"v"))/15,0)</f>
        <v>0.866666666666667</v>
      </c>
      <c r="X14" s="20" t="n">
        <f aca="false">IFERROR((COUNTIF(C14:Q14,"c")+COUNTIF(C14:Q14,"m")+COUNTIF(C14:Q14,"v"))/15,0)</f>
        <v>0.866666666666667</v>
      </c>
    </row>
    <row r="15" customFormat="false" ht="18" hidden="false" customHeight="true" outlineLevel="0" collapsed="false">
      <c r="A15" s="8" t="s">
        <v>55</v>
      </c>
      <c r="B15" s="9" t="s">
        <v>56</v>
      </c>
      <c r="C15" s="10" t="s">
        <v>57</v>
      </c>
      <c r="D15" s="12" t="s">
        <v>32</v>
      </c>
      <c r="E15" s="11" t="s">
        <v>31</v>
      </c>
      <c r="F15" s="13" t="s">
        <v>33</v>
      </c>
      <c r="G15" s="13" t="s">
        <v>33</v>
      </c>
      <c r="H15" s="11" t="s">
        <v>31</v>
      </c>
      <c r="I15" s="11" t="s">
        <v>31</v>
      </c>
      <c r="J15" s="11" t="s">
        <v>31</v>
      </c>
      <c r="K15" s="11" t="s">
        <v>31</v>
      </c>
      <c r="L15" s="12" t="s">
        <v>32</v>
      </c>
      <c r="M15" s="11" t="s">
        <v>31</v>
      </c>
      <c r="N15" s="11" t="s">
        <v>31</v>
      </c>
      <c r="O15" s="11" t="s">
        <v>31</v>
      </c>
      <c r="P15" s="11" t="s">
        <v>31</v>
      </c>
      <c r="Q15" s="11" t="s">
        <v>31</v>
      </c>
      <c r="R15" s="11" t="s">
        <v>31</v>
      </c>
      <c r="S15" s="8" t="n">
        <f aca="false">COUNTIF(C15:Q15,"c")</f>
        <v>10</v>
      </c>
      <c r="T15" s="8" t="n">
        <f aca="false">COUNTIF(C15:Q15,"m")</f>
        <v>0</v>
      </c>
      <c r="U15" s="8" t="n">
        <f aca="false">COUNTIF(C15:Q15,"v")</f>
        <v>2</v>
      </c>
      <c r="V15" s="8" t="n">
        <f aca="false">COUNTIF(C15:Q15,"k")</f>
        <v>2</v>
      </c>
      <c r="W15" s="14" t="n">
        <f aca="false">IFERROR((COUNTIF(C15:Q15,"c")+COUNTIF(C15:Q15,"m")+COUNTIF(C15:Q15,"v"))/15,0)</f>
        <v>0.8</v>
      </c>
      <c r="X15" s="15" t="n">
        <f aca="false">IFERROR((COUNTIF(C15:Q15,"c")+COUNTIF(C15:Q15,"m")+COUNTIF(C15:Q15,"v"))/15,0)</f>
        <v>0.8</v>
      </c>
    </row>
    <row r="16" customFormat="false" ht="18" hidden="false" customHeight="true" outlineLevel="0" collapsed="false">
      <c r="A16" s="16" t="s">
        <v>58</v>
      </c>
      <c r="B16" s="17" t="s">
        <v>59</v>
      </c>
      <c r="C16" s="18" t="s">
        <v>60</v>
      </c>
      <c r="D16" s="13" t="s">
        <v>33</v>
      </c>
      <c r="E16" s="12" t="s">
        <v>32</v>
      </c>
      <c r="F16" s="11" t="s">
        <v>31</v>
      </c>
      <c r="G16" s="11" t="s">
        <v>31</v>
      </c>
      <c r="H16" s="11" t="s">
        <v>31</v>
      </c>
      <c r="I16" s="11" t="s">
        <v>31</v>
      </c>
      <c r="J16" s="11" t="s">
        <v>31</v>
      </c>
      <c r="K16" s="11" t="s">
        <v>31</v>
      </c>
      <c r="L16" s="11" t="s">
        <v>31</v>
      </c>
      <c r="M16" s="11" t="s">
        <v>31</v>
      </c>
      <c r="N16" s="11" t="s">
        <v>31</v>
      </c>
      <c r="O16" s="11" t="s">
        <v>31</v>
      </c>
      <c r="P16" s="11" t="s">
        <v>31</v>
      </c>
      <c r="Q16" s="11" t="s">
        <v>31</v>
      </c>
      <c r="R16" s="11" t="s">
        <v>31</v>
      </c>
      <c r="S16" s="16" t="n">
        <f aca="false">COUNTIF(C16:Q16,"c")</f>
        <v>12</v>
      </c>
      <c r="T16" s="16" t="n">
        <f aca="false">COUNTIF(C16:Q16,"m")</f>
        <v>0</v>
      </c>
      <c r="U16" s="16" t="n">
        <f aca="false">COUNTIF(C16:Q16,"v")</f>
        <v>1</v>
      </c>
      <c r="V16" s="16" t="n">
        <f aca="false">COUNTIF(C16:Q16,"k")</f>
        <v>1</v>
      </c>
      <c r="W16" s="19" t="n">
        <f aca="false">IFERROR((COUNTIF(C16:Q16,"c")+COUNTIF(C16:Q16,"m")+COUNTIF(C16:Q16,"v"))/15,0)</f>
        <v>0.866666666666667</v>
      </c>
      <c r="X16" s="20" t="n">
        <f aca="false">IFERROR((COUNTIF(C16:Q16,"c")+COUNTIF(C16:Q16,"m")+COUNTIF(C16:Q16,"v"))/15,0)</f>
        <v>0.866666666666667</v>
      </c>
    </row>
    <row r="17" customFormat="false" ht="18" hidden="false" customHeight="true" outlineLevel="0" collapsed="false">
      <c r="A17" s="8" t="s">
        <v>61</v>
      </c>
      <c r="B17" s="9" t="s">
        <v>62</v>
      </c>
      <c r="C17" s="10" t="s">
        <v>63</v>
      </c>
      <c r="D17" s="11" t="s">
        <v>31</v>
      </c>
      <c r="E17" s="11" t="s">
        <v>31</v>
      </c>
      <c r="F17" s="11" t="s">
        <v>31</v>
      </c>
      <c r="G17" s="11" t="s">
        <v>31</v>
      </c>
      <c r="H17" s="11" t="s">
        <v>31</v>
      </c>
      <c r="I17" s="11" t="s">
        <v>31</v>
      </c>
      <c r="J17" s="11" t="s">
        <v>31</v>
      </c>
      <c r="K17" s="11" t="s">
        <v>31</v>
      </c>
      <c r="L17" s="11" t="s">
        <v>31</v>
      </c>
      <c r="M17" s="11" t="s">
        <v>31</v>
      </c>
      <c r="N17" s="11" t="s">
        <v>31</v>
      </c>
      <c r="O17" s="11" t="s">
        <v>31</v>
      </c>
      <c r="P17" s="11" t="s">
        <v>31</v>
      </c>
      <c r="Q17" s="11" t="s">
        <v>31</v>
      </c>
      <c r="R17" s="11" t="s">
        <v>31</v>
      </c>
      <c r="S17" s="8" t="n">
        <f aca="false">COUNTIF(C17:Q17,"c")</f>
        <v>14</v>
      </c>
      <c r="T17" s="8" t="n">
        <f aca="false">COUNTIF(C17:Q17,"m")</f>
        <v>0</v>
      </c>
      <c r="U17" s="8" t="n">
        <f aca="false">COUNTIF(C17:Q17,"v")</f>
        <v>0</v>
      </c>
      <c r="V17" s="8" t="n">
        <f aca="false">COUNTIF(C17:Q17,"k")</f>
        <v>0</v>
      </c>
      <c r="W17" s="14" t="n">
        <f aca="false">IFERROR((COUNTIF(C17:Q17,"c")+COUNTIF(C17:Q17,"m")+COUNTIF(C17:Q17,"v"))/15,0)</f>
        <v>0.933333333333333</v>
      </c>
      <c r="X17" s="15" t="n">
        <f aca="false">IFERROR((COUNTIF(C17:Q17,"c")+COUNTIF(C17:Q17,"m")+COUNTIF(C17:Q17,"v"))/15,0)</f>
        <v>0.933333333333333</v>
      </c>
    </row>
    <row r="18" customFormat="false" ht="18" hidden="false" customHeight="true" outlineLevel="0" collapsed="false">
      <c r="A18" s="16" t="s">
        <v>64</v>
      </c>
      <c r="B18" s="17" t="s">
        <v>65</v>
      </c>
      <c r="C18" s="18" t="s">
        <v>66</v>
      </c>
      <c r="D18" s="11" t="s">
        <v>31</v>
      </c>
      <c r="E18" s="11" t="s">
        <v>31</v>
      </c>
      <c r="F18" s="11" t="s">
        <v>31</v>
      </c>
      <c r="G18" s="11" t="s">
        <v>31</v>
      </c>
      <c r="H18" s="11" t="s">
        <v>31</v>
      </c>
      <c r="I18" s="11" t="s">
        <v>31</v>
      </c>
      <c r="J18" s="11" t="s">
        <v>31</v>
      </c>
      <c r="K18" s="11" t="s">
        <v>31</v>
      </c>
      <c r="L18" s="11" t="s">
        <v>31</v>
      </c>
      <c r="M18" s="11" t="s">
        <v>31</v>
      </c>
      <c r="N18" s="11" t="s">
        <v>31</v>
      </c>
      <c r="O18" s="11" t="s">
        <v>31</v>
      </c>
      <c r="P18" s="11" t="s">
        <v>31</v>
      </c>
      <c r="Q18" s="13" t="s">
        <v>33</v>
      </c>
      <c r="R18" s="13" t="s">
        <v>33</v>
      </c>
      <c r="S18" s="16" t="n">
        <f aca="false">COUNTIF(C18:Q18,"c")</f>
        <v>13</v>
      </c>
      <c r="T18" s="16" t="n">
        <f aca="false">COUNTIF(C18:Q18,"m")</f>
        <v>0</v>
      </c>
      <c r="U18" s="16" t="n">
        <f aca="false">COUNTIF(C18:Q18,"v")</f>
        <v>1</v>
      </c>
      <c r="V18" s="16" t="n">
        <f aca="false">COUNTIF(C18:Q18,"k")</f>
        <v>0</v>
      </c>
      <c r="W18" s="19" t="n">
        <f aca="false">IFERROR((COUNTIF(C18:Q18,"c")+COUNTIF(C18:Q18,"m")+COUNTIF(C18:Q18,"v"))/15,0)</f>
        <v>0.933333333333333</v>
      </c>
      <c r="X18" s="20" t="n">
        <f aca="false">IFERROR((COUNTIF(C18:Q18,"c")+COUNTIF(C18:Q18,"m")+COUNTIF(C18:Q18,"v"))/15,0)</f>
        <v>0.933333333333333</v>
      </c>
    </row>
    <row r="19" customFormat="false" ht="18" hidden="false" customHeight="true" outlineLevel="0" collapsed="false">
      <c r="A19" s="8" t="s">
        <v>67</v>
      </c>
      <c r="B19" s="9" t="s">
        <v>68</v>
      </c>
      <c r="C19" s="10" t="s">
        <v>69</v>
      </c>
      <c r="D19" s="11" t="s">
        <v>31</v>
      </c>
      <c r="E19" s="11" t="s">
        <v>31</v>
      </c>
      <c r="F19" s="11" t="s">
        <v>31</v>
      </c>
      <c r="G19" s="11" t="s">
        <v>31</v>
      </c>
      <c r="H19" s="11" t="s">
        <v>31</v>
      </c>
      <c r="I19" s="11" t="s">
        <v>31</v>
      </c>
      <c r="J19" s="11" t="s">
        <v>31</v>
      </c>
      <c r="K19" s="11" t="s">
        <v>31</v>
      </c>
      <c r="L19" s="11" t="s">
        <v>31</v>
      </c>
      <c r="M19" s="11" t="s">
        <v>31</v>
      </c>
      <c r="N19" s="11" t="s">
        <v>31</v>
      </c>
      <c r="O19" s="11" t="s">
        <v>31</v>
      </c>
      <c r="P19" s="11" t="s">
        <v>31</v>
      </c>
      <c r="Q19" s="11" t="s">
        <v>31</v>
      </c>
      <c r="R19" s="12" t="s">
        <v>32</v>
      </c>
      <c r="S19" s="8" t="n">
        <f aca="false">COUNTIF(C19:Q19,"c")</f>
        <v>14</v>
      </c>
      <c r="T19" s="8" t="n">
        <f aca="false">COUNTIF(C19:Q19,"m")</f>
        <v>0</v>
      </c>
      <c r="U19" s="8" t="n">
        <f aca="false">COUNTIF(C19:Q19,"v")</f>
        <v>0</v>
      </c>
      <c r="V19" s="8" t="n">
        <f aca="false">COUNTIF(C19:Q19,"k")</f>
        <v>0</v>
      </c>
      <c r="W19" s="14" t="n">
        <f aca="false">IFERROR((COUNTIF(C19:Q19,"c")+COUNTIF(C19:Q19,"m")+COUNTIF(C19:Q19,"v"))/15,0)</f>
        <v>0.933333333333333</v>
      </c>
      <c r="X19" s="15" t="n">
        <f aca="false">IFERROR((COUNTIF(C19:Q19,"c")+COUNTIF(C19:Q19,"m")+COUNTIF(C19:Q19,"v"))/15,0)</f>
        <v>0.933333333333333</v>
      </c>
    </row>
    <row r="20" customFormat="false" ht="18" hidden="false" customHeight="true" outlineLevel="0" collapsed="false">
      <c r="A20" s="16" t="s">
        <v>70</v>
      </c>
      <c r="B20" s="17" t="s">
        <v>71</v>
      </c>
      <c r="C20" s="18" t="s">
        <v>72</v>
      </c>
      <c r="D20" s="11" t="s">
        <v>31</v>
      </c>
      <c r="E20" s="11" t="s">
        <v>31</v>
      </c>
      <c r="F20" s="12" t="s">
        <v>32</v>
      </c>
      <c r="G20" s="11" t="s">
        <v>31</v>
      </c>
      <c r="H20" s="11" t="s">
        <v>31</v>
      </c>
      <c r="I20" s="11" t="s">
        <v>31</v>
      </c>
      <c r="J20" s="13" t="s">
        <v>33</v>
      </c>
      <c r="K20" s="11" t="s">
        <v>31</v>
      </c>
      <c r="L20" s="11" t="s">
        <v>31</v>
      </c>
      <c r="M20" s="11" t="s">
        <v>31</v>
      </c>
      <c r="N20" s="11" t="s">
        <v>31</v>
      </c>
      <c r="O20" s="11" t="s">
        <v>31</v>
      </c>
      <c r="P20" s="11" t="s">
        <v>31</v>
      </c>
      <c r="Q20" s="11" t="s">
        <v>31</v>
      </c>
      <c r="R20" s="11" t="s">
        <v>31</v>
      </c>
      <c r="S20" s="16" t="n">
        <f aca="false">COUNTIF(C20:Q20,"c")</f>
        <v>12</v>
      </c>
      <c r="T20" s="16" t="n">
        <f aca="false">COUNTIF(C20:Q20,"m")</f>
        <v>0</v>
      </c>
      <c r="U20" s="16" t="n">
        <f aca="false">COUNTIF(C20:Q20,"v")</f>
        <v>1</v>
      </c>
      <c r="V20" s="16" t="n">
        <f aca="false">COUNTIF(C20:Q20,"k")</f>
        <v>1</v>
      </c>
      <c r="W20" s="19" t="n">
        <f aca="false">IFERROR((COUNTIF(C20:Q20,"c")+COUNTIF(C20:Q20,"m")+COUNTIF(C20:Q20,"v"))/15,0)</f>
        <v>0.866666666666667</v>
      </c>
      <c r="X20" s="20" t="n">
        <f aca="false">IFERROR((COUNTIF(C20:Q20,"c")+COUNTIF(C20:Q20,"m")+COUNTIF(C20:Q20,"v"))/15,0)</f>
        <v>0.866666666666667</v>
      </c>
    </row>
    <row r="21" customFormat="false" ht="18" hidden="false" customHeight="true" outlineLevel="0" collapsed="false">
      <c r="A21" s="8" t="s">
        <v>73</v>
      </c>
      <c r="B21" s="9" t="s">
        <v>74</v>
      </c>
      <c r="C21" s="10" t="s">
        <v>75</v>
      </c>
      <c r="D21" s="12" t="s">
        <v>32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31</v>
      </c>
      <c r="J21" s="11" t="s">
        <v>31</v>
      </c>
      <c r="K21" s="11" t="s">
        <v>31</v>
      </c>
      <c r="L21" s="11" t="s">
        <v>31</v>
      </c>
      <c r="M21" s="11" t="s">
        <v>31</v>
      </c>
      <c r="N21" s="11" t="s">
        <v>31</v>
      </c>
      <c r="O21" s="11" t="s">
        <v>31</v>
      </c>
      <c r="P21" s="11" t="s">
        <v>31</v>
      </c>
      <c r="Q21" s="13" t="s">
        <v>33</v>
      </c>
      <c r="R21" s="11" t="s">
        <v>31</v>
      </c>
      <c r="S21" s="8" t="n">
        <f aca="false">COUNTIF(C21:Q21,"c")</f>
        <v>12</v>
      </c>
      <c r="T21" s="8" t="n">
        <f aca="false">COUNTIF(C21:Q21,"m")</f>
        <v>0</v>
      </c>
      <c r="U21" s="8" t="n">
        <f aca="false">COUNTIF(C21:Q21,"v")</f>
        <v>1</v>
      </c>
      <c r="V21" s="8" t="n">
        <f aca="false">COUNTIF(C21:Q21,"k")</f>
        <v>1</v>
      </c>
      <c r="W21" s="14" t="n">
        <f aca="false">IFERROR((COUNTIF(C21:Q21,"c")+COUNTIF(C21:Q21,"m")+COUNTIF(C21:Q21,"v"))/15,0)</f>
        <v>0.866666666666667</v>
      </c>
      <c r="X21" s="15" t="n">
        <f aca="false">IFERROR((COUNTIF(C21:Q21,"c")+COUNTIF(C21:Q21,"m")+COUNTIF(C21:Q21,"v"))/15,0)</f>
        <v>0.866666666666667</v>
      </c>
    </row>
    <row r="22" customFormat="false" ht="18" hidden="false" customHeight="true" outlineLevel="0" collapsed="false">
      <c r="A22" s="16" t="s">
        <v>76</v>
      </c>
      <c r="B22" s="17" t="s">
        <v>77</v>
      </c>
      <c r="C22" s="18" t="s">
        <v>78</v>
      </c>
      <c r="D22" s="12" t="s">
        <v>32</v>
      </c>
      <c r="E22" s="11" t="s">
        <v>31</v>
      </c>
      <c r="F22" s="11" t="s">
        <v>31</v>
      </c>
      <c r="G22" s="11" t="s">
        <v>31</v>
      </c>
      <c r="H22" s="11" t="s">
        <v>31</v>
      </c>
      <c r="I22" s="11" t="s">
        <v>31</v>
      </c>
      <c r="J22" s="11" t="s">
        <v>31</v>
      </c>
      <c r="K22" s="11" t="s">
        <v>31</v>
      </c>
      <c r="L22" s="11" t="s">
        <v>31</v>
      </c>
      <c r="M22" s="11" t="s">
        <v>31</v>
      </c>
      <c r="N22" s="11" t="s">
        <v>31</v>
      </c>
      <c r="O22" s="13" t="s">
        <v>33</v>
      </c>
      <c r="P22" s="11" t="s">
        <v>31</v>
      </c>
      <c r="Q22" s="11" t="s">
        <v>31</v>
      </c>
      <c r="R22" s="11" t="s">
        <v>31</v>
      </c>
      <c r="S22" s="16" t="n">
        <f aca="false">COUNTIF(C22:Q22,"c")</f>
        <v>12</v>
      </c>
      <c r="T22" s="16" t="n">
        <f aca="false">COUNTIF(C22:Q22,"m")</f>
        <v>0</v>
      </c>
      <c r="U22" s="16" t="n">
        <f aca="false">COUNTIF(C22:Q22,"v")</f>
        <v>1</v>
      </c>
      <c r="V22" s="16" t="n">
        <f aca="false">COUNTIF(C22:Q22,"k")</f>
        <v>1</v>
      </c>
      <c r="W22" s="19" t="n">
        <f aca="false">IFERROR((COUNTIF(C22:Q22,"c")+COUNTIF(C22:Q22,"m")+COUNTIF(C22:Q22,"v"))/15,0)</f>
        <v>0.866666666666667</v>
      </c>
      <c r="X22" s="20" t="n">
        <f aca="false">IFERROR((COUNTIF(C22:Q22,"c")+COUNTIF(C22:Q22,"m")+COUNTIF(C22:Q22,"v"))/15,0)</f>
        <v>0.866666666666667</v>
      </c>
    </row>
    <row r="23" customFormat="false" ht="18" hidden="false" customHeight="true" outlineLevel="0" collapsed="false">
      <c r="A23" s="8" t="s">
        <v>79</v>
      </c>
      <c r="B23" s="9" t="s">
        <v>80</v>
      </c>
      <c r="C23" s="10" t="s">
        <v>81</v>
      </c>
      <c r="D23" s="11" t="s">
        <v>31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31</v>
      </c>
      <c r="J23" s="12" t="s">
        <v>32</v>
      </c>
      <c r="K23" s="11" t="s">
        <v>31</v>
      </c>
      <c r="L23" s="11" t="s">
        <v>31</v>
      </c>
      <c r="M23" s="11" t="s">
        <v>31</v>
      </c>
      <c r="N23" s="13" t="s">
        <v>33</v>
      </c>
      <c r="O23" s="11" t="s">
        <v>31</v>
      </c>
      <c r="P23" s="11" t="s">
        <v>31</v>
      </c>
      <c r="Q23" s="11" t="s">
        <v>31</v>
      </c>
      <c r="R23" s="11" t="s">
        <v>31</v>
      </c>
      <c r="S23" s="8" t="n">
        <f aca="false">COUNTIF(C23:Q23,"c")</f>
        <v>12</v>
      </c>
      <c r="T23" s="8" t="n">
        <f aca="false">COUNTIF(C23:Q23,"m")</f>
        <v>0</v>
      </c>
      <c r="U23" s="8" t="n">
        <f aca="false">COUNTIF(C23:Q23,"v")</f>
        <v>1</v>
      </c>
      <c r="V23" s="8" t="n">
        <f aca="false">COUNTIF(C23:Q23,"k")</f>
        <v>1</v>
      </c>
      <c r="W23" s="14" t="n">
        <f aca="false">IFERROR((COUNTIF(C23:Q23,"c")+COUNTIF(C23:Q23,"m")+COUNTIF(C23:Q23,"v"))/15,0)</f>
        <v>0.866666666666667</v>
      </c>
      <c r="X23" s="15" t="n">
        <f aca="false">IFERROR((COUNTIF(C23:Q23,"c")+COUNTIF(C23:Q23,"m")+COUNTIF(C23:Q23,"v"))/15,0)</f>
        <v>0.866666666666667</v>
      </c>
    </row>
    <row r="24" customFormat="false" ht="18" hidden="false" customHeight="true" outlineLevel="0" collapsed="false">
      <c r="A24" s="16" t="s">
        <v>82</v>
      </c>
      <c r="B24" s="17" t="s">
        <v>83</v>
      </c>
      <c r="C24" s="18" t="s">
        <v>84</v>
      </c>
      <c r="D24" s="11" t="s">
        <v>31</v>
      </c>
      <c r="E24" s="11" t="s">
        <v>31</v>
      </c>
      <c r="F24" s="12" t="s">
        <v>32</v>
      </c>
      <c r="G24" s="11" t="s">
        <v>31</v>
      </c>
      <c r="H24" s="11" t="s">
        <v>31</v>
      </c>
      <c r="I24" s="11" t="s">
        <v>31</v>
      </c>
      <c r="J24" s="11" t="s">
        <v>31</v>
      </c>
      <c r="K24" s="11" t="s">
        <v>31</v>
      </c>
      <c r="L24" s="12" t="s">
        <v>32</v>
      </c>
      <c r="M24" s="11" t="s">
        <v>31</v>
      </c>
      <c r="N24" s="11" t="s">
        <v>31</v>
      </c>
      <c r="O24" s="11" t="s">
        <v>31</v>
      </c>
      <c r="P24" s="11" t="s">
        <v>31</v>
      </c>
      <c r="Q24" s="11" t="s">
        <v>31</v>
      </c>
      <c r="R24" s="11" t="s">
        <v>31</v>
      </c>
      <c r="S24" s="16" t="n">
        <f aca="false">COUNTIF(C24:Q24,"c")</f>
        <v>12</v>
      </c>
      <c r="T24" s="16" t="n">
        <f aca="false">COUNTIF(C24:Q24,"m")</f>
        <v>0</v>
      </c>
      <c r="U24" s="16" t="n">
        <f aca="false">COUNTIF(C24:Q24,"v")</f>
        <v>0</v>
      </c>
      <c r="V24" s="16" t="n">
        <f aca="false">COUNTIF(C24:Q24,"k")</f>
        <v>2</v>
      </c>
      <c r="W24" s="19" t="n">
        <f aca="false">IFERROR((COUNTIF(C24:Q24,"c")+COUNTIF(C24:Q24,"m")+COUNTIF(C24:Q24,"v"))/15,0)</f>
        <v>0.8</v>
      </c>
      <c r="X24" s="20" t="n">
        <f aca="false">IFERROR((COUNTIF(C24:Q24,"c")+COUNTIF(C24:Q24,"m")+COUNTIF(C24:Q24,"v"))/15,0)</f>
        <v>0.8</v>
      </c>
    </row>
    <row r="25" customFormat="false" ht="18" hidden="false" customHeight="true" outlineLevel="0" collapsed="false">
      <c r="A25" s="8" t="s">
        <v>85</v>
      </c>
      <c r="B25" s="9" t="s">
        <v>86</v>
      </c>
      <c r="C25" s="10" t="s">
        <v>87</v>
      </c>
      <c r="D25" s="11" t="s">
        <v>31</v>
      </c>
      <c r="E25" s="11" t="s">
        <v>31</v>
      </c>
      <c r="F25" s="11" t="s">
        <v>31</v>
      </c>
      <c r="G25" s="11" t="s">
        <v>31</v>
      </c>
      <c r="H25" s="11" t="s">
        <v>31</v>
      </c>
      <c r="I25" s="11" t="s">
        <v>31</v>
      </c>
      <c r="J25" s="11" t="s">
        <v>31</v>
      </c>
      <c r="K25" s="11" t="s">
        <v>31</v>
      </c>
      <c r="L25" s="11" t="s">
        <v>31</v>
      </c>
      <c r="M25" s="11" t="s">
        <v>31</v>
      </c>
      <c r="N25" s="12" t="s">
        <v>32</v>
      </c>
      <c r="O25" s="11" t="s">
        <v>31</v>
      </c>
      <c r="P25" s="11" t="s">
        <v>31</v>
      </c>
      <c r="Q25" s="12" t="s">
        <v>32</v>
      </c>
      <c r="R25" s="11" t="s">
        <v>31</v>
      </c>
      <c r="S25" s="8" t="n">
        <f aca="false">COUNTIF(C25:Q25,"c")</f>
        <v>12</v>
      </c>
      <c r="T25" s="8" t="n">
        <f aca="false">COUNTIF(C25:Q25,"m")</f>
        <v>0</v>
      </c>
      <c r="U25" s="8" t="n">
        <f aca="false">COUNTIF(C25:Q25,"v")</f>
        <v>0</v>
      </c>
      <c r="V25" s="8" t="n">
        <f aca="false">COUNTIF(C25:Q25,"k")</f>
        <v>2</v>
      </c>
      <c r="W25" s="14" t="n">
        <f aca="false">IFERROR((COUNTIF(C25:Q25,"c")+COUNTIF(C25:Q25,"m")+COUNTIF(C25:Q25,"v"))/15,0)</f>
        <v>0.8</v>
      </c>
      <c r="X25" s="15" t="n">
        <f aca="false">IFERROR((COUNTIF(C25:Q25,"c")+COUNTIF(C25:Q25,"m")+COUNTIF(C25:Q25,"v"))/15,0)</f>
        <v>0.8</v>
      </c>
    </row>
    <row r="26" customFormat="false" ht="18" hidden="false" customHeight="true" outlineLevel="0" collapsed="false">
      <c r="A26" s="16" t="s">
        <v>88</v>
      </c>
      <c r="B26" s="17" t="s">
        <v>89</v>
      </c>
      <c r="C26" s="18" t="s">
        <v>90</v>
      </c>
      <c r="D26" s="11" t="s">
        <v>31</v>
      </c>
      <c r="E26" s="11" t="s">
        <v>31</v>
      </c>
      <c r="F26" s="11" t="s">
        <v>31</v>
      </c>
      <c r="G26" s="11" t="s">
        <v>31</v>
      </c>
      <c r="H26" s="11" t="s">
        <v>31</v>
      </c>
      <c r="I26" s="12" t="s">
        <v>32</v>
      </c>
      <c r="J26" s="11" t="s">
        <v>31</v>
      </c>
      <c r="K26" s="12" t="s">
        <v>32</v>
      </c>
      <c r="L26" s="11" t="s">
        <v>31</v>
      </c>
      <c r="M26" s="11" t="s">
        <v>31</v>
      </c>
      <c r="N26" s="11" t="s">
        <v>31</v>
      </c>
      <c r="O26" s="11" t="s">
        <v>31</v>
      </c>
      <c r="P26" s="11" t="s">
        <v>31</v>
      </c>
      <c r="Q26" s="11" t="s">
        <v>31</v>
      </c>
      <c r="R26" s="11" t="s">
        <v>31</v>
      </c>
      <c r="S26" s="16" t="n">
        <f aca="false">COUNTIF(C26:Q26,"c")</f>
        <v>12</v>
      </c>
      <c r="T26" s="16" t="n">
        <f aca="false">COUNTIF(C26:Q26,"m")</f>
        <v>0</v>
      </c>
      <c r="U26" s="16" t="n">
        <f aca="false">COUNTIF(C26:Q26,"v")</f>
        <v>0</v>
      </c>
      <c r="V26" s="16" t="n">
        <f aca="false">COUNTIF(C26:Q26,"k")</f>
        <v>2</v>
      </c>
      <c r="W26" s="19" t="n">
        <f aca="false">IFERROR((COUNTIF(C26:Q26,"c")+COUNTIF(C26:Q26,"m")+COUNTIF(C26:Q26,"v"))/15,0)</f>
        <v>0.8</v>
      </c>
      <c r="X26" s="20" t="n">
        <f aca="false">IFERROR((COUNTIF(C26:Q26,"c")+COUNTIF(C26:Q26,"m")+COUNTIF(C26:Q26,"v"))/15,0)</f>
        <v>0.8</v>
      </c>
    </row>
    <row r="27" customFormat="false" ht="18" hidden="false" customHeight="true" outlineLevel="0" collapsed="false">
      <c r="A27" s="8" t="s">
        <v>91</v>
      </c>
      <c r="B27" s="9" t="s">
        <v>92</v>
      </c>
      <c r="C27" s="10" t="s">
        <v>93</v>
      </c>
      <c r="D27" s="11" t="s">
        <v>31</v>
      </c>
      <c r="E27" s="11" t="s">
        <v>31</v>
      </c>
      <c r="F27" s="11" t="s">
        <v>31</v>
      </c>
      <c r="G27" s="11" t="s">
        <v>31</v>
      </c>
      <c r="H27" s="11" t="s">
        <v>31</v>
      </c>
      <c r="I27" s="11" t="s">
        <v>31</v>
      </c>
      <c r="J27" s="11" t="s">
        <v>31</v>
      </c>
      <c r="K27" s="13" t="s">
        <v>33</v>
      </c>
      <c r="L27" s="11" t="s">
        <v>31</v>
      </c>
      <c r="M27" s="11" t="s">
        <v>31</v>
      </c>
      <c r="N27" s="11" t="s">
        <v>31</v>
      </c>
      <c r="O27" s="11" t="s">
        <v>31</v>
      </c>
      <c r="P27" s="11" t="s">
        <v>31</v>
      </c>
      <c r="Q27" s="11" t="s">
        <v>31</v>
      </c>
      <c r="R27" s="11" t="s">
        <v>31</v>
      </c>
      <c r="S27" s="8" t="n">
        <f aca="false">COUNTIF(C27:Q27,"c")</f>
        <v>13</v>
      </c>
      <c r="T27" s="8" t="n">
        <f aca="false">COUNTIF(C27:Q27,"m")</f>
        <v>0</v>
      </c>
      <c r="U27" s="8" t="n">
        <f aca="false">COUNTIF(C27:Q27,"v")</f>
        <v>1</v>
      </c>
      <c r="V27" s="8" t="n">
        <f aca="false">COUNTIF(C27:Q27,"k")</f>
        <v>0</v>
      </c>
      <c r="W27" s="14" t="n">
        <f aca="false">IFERROR((COUNTIF(C27:Q27,"c")+COUNTIF(C27:Q27,"m")+COUNTIF(C27:Q27,"v"))/15,0)</f>
        <v>0.933333333333333</v>
      </c>
      <c r="X27" s="15" t="n">
        <f aca="false">IFERROR((COUNTIF(C27:Q27,"c")+COUNTIF(C27:Q27,"m")+COUNTIF(C27:Q27,"v"))/15,0)</f>
        <v>0.933333333333333</v>
      </c>
    </row>
    <row r="28" customFormat="false" ht="18" hidden="false" customHeight="true" outlineLevel="0" collapsed="false">
      <c r="A28" s="16" t="s">
        <v>94</v>
      </c>
      <c r="B28" s="17" t="s">
        <v>95</v>
      </c>
      <c r="C28" s="18" t="s">
        <v>96</v>
      </c>
      <c r="D28" s="11" t="s">
        <v>31</v>
      </c>
      <c r="E28" s="12" t="s">
        <v>32</v>
      </c>
      <c r="F28" s="11" t="s">
        <v>31</v>
      </c>
      <c r="G28" s="11" t="s">
        <v>31</v>
      </c>
      <c r="H28" s="11" t="s">
        <v>31</v>
      </c>
      <c r="I28" s="13" t="s">
        <v>33</v>
      </c>
      <c r="J28" s="11" t="s">
        <v>31</v>
      </c>
      <c r="K28" s="11" t="s">
        <v>31</v>
      </c>
      <c r="L28" s="11" t="s">
        <v>31</v>
      </c>
      <c r="M28" s="11" t="s">
        <v>31</v>
      </c>
      <c r="N28" s="11" t="s">
        <v>31</v>
      </c>
      <c r="O28" s="11" t="s">
        <v>31</v>
      </c>
      <c r="P28" s="11" t="s">
        <v>31</v>
      </c>
      <c r="Q28" s="11" t="s">
        <v>31</v>
      </c>
      <c r="R28" s="11" t="s">
        <v>31</v>
      </c>
      <c r="S28" s="16" t="n">
        <f aca="false">COUNTIF(C28:Q28,"c")</f>
        <v>12</v>
      </c>
      <c r="T28" s="16" t="n">
        <f aca="false">COUNTIF(C28:Q28,"m")</f>
        <v>0</v>
      </c>
      <c r="U28" s="16" t="n">
        <f aca="false">COUNTIF(C28:Q28,"v")</f>
        <v>1</v>
      </c>
      <c r="V28" s="16" t="n">
        <f aca="false">COUNTIF(C28:Q28,"k")</f>
        <v>1</v>
      </c>
      <c r="W28" s="19" t="n">
        <f aca="false">IFERROR((COUNTIF(C28:Q28,"c")+COUNTIF(C28:Q28,"m")+COUNTIF(C28:Q28,"v"))/15,0)</f>
        <v>0.866666666666667</v>
      </c>
      <c r="X28" s="20" t="n">
        <f aca="false">IFERROR((COUNTIF(C28:Q28,"c")+COUNTIF(C28:Q28,"m")+COUNTIF(C28:Q28,"v"))/15,0)</f>
        <v>0.866666666666667</v>
      </c>
    </row>
    <row r="29" customFormat="false" ht="18" hidden="false" customHeight="true" outlineLevel="0" collapsed="false">
      <c r="A29" s="8" t="s">
        <v>97</v>
      </c>
      <c r="B29" s="9" t="s">
        <v>98</v>
      </c>
      <c r="C29" s="10" t="s">
        <v>99</v>
      </c>
      <c r="D29" s="11" t="s">
        <v>31</v>
      </c>
      <c r="E29" s="11" t="s">
        <v>31</v>
      </c>
      <c r="F29" s="11" t="s">
        <v>31</v>
      </c>
      <c r="G29" s="11" t="s">
        <v>31</v>
      </c>
      <c r="H29" s="11" t="s">
        <v>31</v>
      </c>
      <c r="I29" s="11" t="s">
        <v>31</v>
      </c>
      <c r="J29" s="13" t="s">
        <v>33</v>
      </c>
      <c r="K29" s="11" t="s">
        <v>31</v>
      </c>
      <c r="L29" s="11" t="s">
        <v>31</v>
      </c>
      <c r="M29" s="11" t="s">
        <v>31</v>
      </c>
      <c r="N29" s="11" t="s">
        <v>31</v>
      </c>
      <c r="O29" s="11" t="s">
        <v>31</v>
      </c>
      <c r="P29" s="11" t="s">
        <v>31</v>
      </c>
      <c r="Q29" s="12" t="s">
        <v>32</v>
      </c>
      <c r="R29" s="11" t="s">
        <v>31</v>
      </c>
      <c r="S29" s="8" t="n">
        <f aca="false">COUNTIF(C29:Q29,"c")</f>
        <v>12</v>
      </c>
      <c r="T29" s="8" t="n">
        <f aca="false">COUNTIF(C29:Q29,"m")</f>
        <v>0</v>
      </c>
      <c r="U29" s="8" t="n">
        <f aca="false">COUNTIF(C29:Q29,"v")</f>
        <v>1</v>
      </c>
      <c r="V29" s="8" t="n">
        <f aca="false">COUNTIF(C29:Q29,"k")</f>
        <v>1</v>
      </c>
      <c r="W29" s="14" t="n">
        <f aca="false">IFERROR((COUNTIF(C29:Q29,"c")+COUNTIF(C29:Q29,"m")+COUNTIF(C29:Q29,"v"))/15,0)</f>
        <v>0.866666666666667</v>
      </c>
      <c r="X29" s="15" t="n">
        <f aca="false">IFERROR((COUNTIF(C29:Q29,"c")+COUNTIF(C29:Q29,"m")+COUNTIF(C29:Q29,"v"))/15,0)</f>
        <v>0.866666666666667</v>
      </c>
    </row>
    <row r="30" customFormat="false" ht="18" hidden="false" customHeight="true" outlineLevel="0" collapsed="false">
      <c r="A30" s="16" t="s">
        <v>100</v>
      </c>
      <c r="B30" s="17" t="s">
        <v>101</v>
      </c>
      <c r="C30" s="18" t="s">
        <v>102</v>
      </c>
      <c r="D30" s="11" t="s">
        <v>31</v>
      </c>
      <c r="E30" s="11" t="s">
        <v>31</v>
      </c>
      <c r="F30" s="11" t="s">
        <v>31</v>
      </c>
      <c r="G30" s="11" t="s">
        <v>31</v>
      </c>
      <c r="H30" s="11" t="s">
        <v>31</v>
      </c>
      <c r="I30" s="11" t="s">
        <v>31</v>
      </c>
      <c r="J30" s="11" t="s">
        <v>31</v>
      </c>
      <c r="K30" s="11" t="s">
        <v>31</v>
      </c>
      <c r="L30" s="11" t="s">
        <v>31</v>
      </c>
      <c r="M30" s="11" t="s">
        <v>31</v>
      </c>
      <c r="N30" s="11" t="s">
        <v>31</v>
      </c>
      <c r="O30" s="11" t="s">
        <v>31</v>
      </c>
      <c r="P30" s="11" t="s">
        <v>31</v>
      </c>
      <c r="Q30" s="11" t="s">
        <v>31</v>
      </c>
      <c r="R30" s="11" t="s">
        <v>31</v>
      </c>
      <c r="S30" s="16" t="n">
        <f aca="false">COUNTIF(C30:Q30,"c")</f>
        <v>14</v>
      </c>
      <c r="T30" s="16" t="n">
        <f aca="false">COUNTIF(C30:Q30,"m")</f>
        <v>0</v>
      </c>
      <c r="U30" s="16" t="n">
        <f aca="false">COUNTIF(C30:Q30,"v")</f>
        <v>0</v>
      </c>
      <c r="V30" s="16" t="n">
        <f aca="false">COUNTIF(C30:Q30,"k")</f>
        <v>0</v>
      </c>
      <c r="W30" s="19" t="n">
        <f aca="false">IFERROR((COUNTIF(C30:Q30,"c")+COUNTIF(C30:Q30,"m")+COUNTIF(C30:Q30,"v"))/15,0)</f>
        <v>0.933333333333333</v>
      </c>
      <c r="X30" s="20" t="n">
        <f aca="false">IFERROR((COUNTIF(C30:Q30,"c")+COUNTIF(C30:Q30,"m")+COUNTIF(C30:Q30,"v"))/15,0)</f>
        <v>0.933333333333333</v>
      </c>
    </row>
    <row r="31" customFormat="false" ht="18" hidden="false" customHeight="true" outlineLevel="0" collapsed="false">
      <c r="A31" s="8" t="s">
        <v>103</v>
      </c>
      <c r="B31" s="9" t="s">
        <v>104</v>
      </c>
      <c r="C31" s="10" t="s">
        <v>105</v>
      </c>
      <c r="D31" s="11" t="s">
        <v>31</v>
      </c>
      <c r="E31" s="11" t="s">
        <v>31</v>
      </c>
      <c r="F31" s="11" t="s">
        <v>31</v>
      </c>
      <c r="G31" s="11" t="s">
        <v>31</v>
      </c>
      <c r="H31" s="11" t="s">
        <v>31</v>
      </c>
      <c r="I31" s="11" t="s">
        <v>31</v>
      </c>
      <c r="J31" s="11" t="s">
        <v>31</v>
      </c>
      <c r="K31" s="11" t="s">
        <v>31</v>
      </c>
      <c r="L31" s="11" t="s">
        <v>31</v>
      </c>
      <c r="M31" s="11" t="s">
        <v>31</v>
      </c>
      <c r="N31" s="11" t="s">
        <v>31</v>
      </c>
      <c r="O31" s="11" t="s">
        <v>31</v>
      </c>
      <c r="P31" s="11" t="s">
        <v>31</v>
      </c>
      <c r="Q31" s="11" t="s">
        <v>31</v>
      </c>
      <c r="R31" s="11" t="s">
        <v>31</v>
      </c>
      <c r="S31" s="8" t="n">
        <f aca="false">COUNTIF(C31:Q31,"c")</f>
        <v>14</v>
      </c>
      <c r="T31" s="8" t="n">
        <f aca="false">COUNTIF(C31:Q31,"m")</f>
        <v>0</v>
      </c>
      <c r="U31" s="8" t="n">
        <f aca="false">COUNTIF(C31:Q31,"v")</f>
        <v>0</v>
      </c>
      <c r="V31" s="8" t="n">
        <f aca="false">COUNTIF(C31:Q31,"k")</f>
        <v>0</v>
      </c>
      <c r="W31" s="14" t="n">
        <f aca="false">IFERROR((COUNTIF(C31:Q31,"c")+COUNTIF(C31:Q31,"m")+COUNTIF(C31:Q31,"v"))/15,0)</f>
        <v>0.933333333333333</v>
      </c>
      <c r="X31" s="15" t="n">
        <f aca="false">IFERROR((COUNTIF(C31:Q31,"c")+COUNTIF(C31:Q31,"m")+COUNTIF(C31:Q31,"v"))/15,0)</f>
        <v>0.933333333333333</v>
      </c>
    </row>
    <row r="32" customFormat="false" ht="18" hidden="false" customHeight="true" outlineLevel="0" collapsed="false">
      <c r="A32" s="16" t="s">
        <v>106</v>
      </c>
      <c r="B32" s="17" t="s">
        <v>107</v>
      </c>
      <c r="C32" s="18" t="s">
        <v>108</v>
      </c>
      <c r="D32" s="11" t="s">
        <v>31</v>
      </c>
      <c r="E32" s="11" t="s">
        <v>31</v>
      </c>
      <c r="F32" s="11" t="s">
        <v>31</v>
      </c>
      <c r="G32" s="11" t="s">
        <v>31</v>
      </c>
      <c r="H32" s="11" t="s">
        <v>31</v>
      </c>
      <c r="I32" s="11" t="s">
        <v>31</v>
      </c>
      <c r="J32" s="11" t="s">
        <v>31</v>
      </c>
      <c r="K32" s="11" t="s">
        <v>31</v>
      </c>
      <c r="L32" s="11" t="s">
        <v>31</v>
      </c>
      <c r="M32" s="11" t="s">
        <v>31</v>
      </c>
      <c r="N32" s="11" t="s">
        <v>31</v>
      </c>
      <c r="O32" s="11" t="s">
        <v>31</v>
      </c>
      <c r="P32" s="11" t="s">
        <v>31</v>
      </c>
      <c r="Q32" s="11" t="s">
        <v>31</v>
      </c>
      <c r="R32" s="11" t="s">
        <v>31</v>
      </c>
      <c r="S32" s="16" t="n">
        <f aca="false">COUNTIF(C32:Q32,"c")</f>
        <v>14</v>
      </c>
      <c r="T32" s="16" t="n">
        <f aca="false">COUNTIF(C32:Q32,"m")</f>
        <v>0</v>
      </c>
      <c r="U32" s="16" t="n">
        <f aca="false">COUNTIF(C32:Q32,"v")</f>
        <v>0</v>
      </c>
      <c r="V32" s="16" t="n">
        <f aca="false">COUNTIF(C32:Q32,"k")</f>
        <v>0</v>
      </c>
      <c r="W32" s="19" t="n">
        <f aca="false">IFERROR((COUNTIF(C32:Q32,"c")+COUNTIF(C32:Q32,"m")+COUNTIF(C32:Q32,"v"))/15,0)</f>
        <v>0.933333333333333</v>
      </c>
      <c r="X32" s="20" t="n">
        <f aca="false">IFERROR((COUNTIF(C32:Q32,"c")+COUNTIF(C32:Q32,"m")+COUNTIF(C32:Q32,"v"))/15,0)</f>
        <v>0.933333333333333</v>
      </c>
    </row>
    <row r="33" customFormat="false" ht="18" hidden="false" customHeight="true" outlineLevel="0" collapsed="false">
      <c r="A33" s="8" t="s">
        <v>109</v>
      </c>
      <c r="B33" s="9" t="s">
        <v>110</v>
      </c>
      <c r="C33" s="10" t="s">
        <v>111</v>
      </c>
      <c r="D33" s="11" t="s">
        <v>31</v>
      </c>
      <c r="E33" s="11" t="s">
        <v>31</v>
      </c>
      <c r="F33" s="12" t="s">
        <v>32</v>
      </c>
      <c r="G33" s="11" t="s">
        <v>31</v>
      </c>
      <c r="H33" s="11" t="s">
        <v>31</v>
      </c>
      <c r="I33" s="11" t="s">
        <v>31</v>
      </c>
      <c r="J33" s="11" t="s">
        <v>31</v>
      </c>
      <c r="K33" s="11" t="s">
        <v>31</v>
      </c>
      <c r="L33" s="11" t="s">
        <v>31</v>
      </c>
      <c r="M33" s="11" t="s">
        <v>31</v>
      </c>
      <c r="N33" s="11" t="s">
        <v>31</v>
      </c>
      <c r="O33" s="11" t="s">
        <v>31</v>
      </c>
      <c r="P33" s="11" t="s">
        <v>31</v>
      </c>
      <c r="Q33" s="11" t="s">
        <v>31</v>
      </c>
      <c r="R33" s="11" t="s">
        <v>31</v>
      </c>
      <c r="S33" s="8" t="n">
        <f aca="false">COUNTIF(C33:Q33,"c")</f>
        <v>13</v>
      </c>
      <c r="T33" s="8" t="n">
        <f aca="false">COUNTIF(C33:Q33,"m")</f>
        <v>0</v>
      </c>
      <c r="U33" s="8" t="n">
        <f aca="false">COUNTIF(C33:Q33,"v")</f>
        <v>0</v>
      </c>
      <c r="V33" s="8" t="n">
        <f aca="false">COUNTIF(C33:Q33,"k")</f>
        <v>1</v>
      </c>
      <c r="W33" s="14" t="n">
        <f aca="false">IFERROR((COUNTIF(C33:Q33,"c")+COUNTIF(C33:Q33,"m")+COUNTIF(C33:Q33,"v"))/15,0)</f>
        <v>0.866666666666667</v>
      </c>
      <c r="X33" s="15" t="n">
        <f aca="false">IFERROR((COUNTIF(C33:Q33,"c")+COUNTIF(C33:Q33,"m")+COUNTIF(C33:Q33,"v"))/15,0)</f>
        <v>0.866666666666667</v>
      </c>
    </row>
    <row r="34" customFormat="false" ht="18" hidden="false" customHeight="true" outlineLevel="0" collapsed="false">
      <c r="A34" s="16" t="s">
        <v>112</v>
      </c>
      <c r="B34" s="17" t="s">
        <v>113</v>
      </c>
      <c r="C34" s="18" t="s">
        <v>114</v>
      </c>
      <c r="D34" s="11" t="s">
        <v>31</v>
      </c>
      <c r="E34" s="12" t="s">
        <v>32</v>
      </c>
      <c r="F34" s="11" t="s">
        <v>31</v>
      </c>
      <c r="G34" s="11" t="s">
        <v>31</v>
      </c>
      <c r="H34" s="11" t="s">
        <v>31</v>
      </c>
      <c r="I34" s="11" t="s">
        <v>31</v>
      </c>
      <c r="J34" s="12" t="s">
        <v>32</v>
      </c>
      <c r="K34" s="11" t="s">
        <v>31</v>
      </c>
      <c r="L34" s="11" t="s">
        <v>31</v>
      </c>
      <c r="M34" s="11" t="s">
        <v>31</v>
      </c>
      <c r="N34" s="13" t="s">
        <v>33</v>
      </c>
      <c r="O34" s="11" t="s">
        <v>31</v>
      </c>
      <c r="P34" s="11" t="s">
        <v>31</v>
      </c>
      <c r="Q34" s="11" t="s">
        <v>31</v>
      </c>
      <c r="R34" s="11" t="s">
        <v>31</v>
      </c>
      <c r="S34" s="16" t="n">
        <f aca="false">COUNTIF(C34:Q34,"c")</f>
        <v>11</v>
      </c>
      <c r="T34" s="16" t="n">
        <f aca="false">COUNTIF(C34:Q34,"m")</f>
        <v>0</v>
      </c>
      <c r="U34" s="16" t="n">
        <f aca="false">COUNTIF(C34:Q34,"v")</f>
        <v>1</v>
      </c>
      <c r="V34" s="16" t="n">
        <f aca="false">COUNTIF(C34:Q34,"k")</f>
        <v>2</v>
      </c>
      <c r="W34" s="19" t="n">
        <f aca="false">IFERROR((COUNTIF(C34:Q34,"c")+COUNTIF(C34:Q34,"m")+COUNTIF(C34:Q34,"v"))/15,0)</f>
        <v>0.8</v>
      </c>
      <c r="X34" s="20" t="n">
        <f aca="false">IFERROR((COUNTIF(C34:Q34,"c")+COUNTIF(C34:Q34,"m")+COUNTIF(C34:Q34,"v"))/15,0)</f>
        <v>0.8</v>
      </c>
    </row>
    <row r="35" customFormat="false" ht="18" hidden="false" customHeight="true" outlineLevel="0" collapsed="false">
      <c r="A35" s="8" t="s">
        <v>115</v>
      </c>
      <c r="B35" s="9" t="s">
        <v>116</v>
      </c>
      <c r="C35" s="10" t="s">
        <v>117</v>
      </c>
      <c r="D35" s="12" t="s">
        <v>32</v>
      </c>
      <c r="E35" s="11" t="s">
        <v>31</v>
      </c>
      <c r="F35" s="11" t="s">
        <v>31</v>
      </c>
      <c r="G35" s="13" t="s">
        <v>33</v>
      </c>
      <c r="H35" s="12" t="s">
        <v>32</v>
      </c>
      <c r="I35" s="11" t="s">
        <v>31</v>
      </c>
      <c r="J35" s="11" t="s">
        <v>31</v>
      </c>
      <c r="K35" s="11" t="s">
        <v>31</v>
      </c>
      <c r="L35" s="12" t="s">
        <v>32</v>
      </c>
      <c r="M35" s="11" t="s">
        <v>31</v>
      </c>
      <c r="N35" s="11" t="s">
        <v>31</v>
      </c>
      <c r="O35" s="11" t="s">
        <v>31</v>
      </c>
      <c r="P35" s="11" t="s">
        <v>31</v>
      </c>
      <c r="Q35" s="11" t="s">
        <v>31</v>
      </c>
      <c r="R35" s="11" t="s">
        <v>31</v>
      </c>
      <c r="S35" s="8" t="n">
        <f aca="false">COUNTIF(C35:Q35,"c")</f>
        <v>10</v>
      </c>
      <c r="T35" s="8" t="n">
        <f aca="false">COUNTIF(C35:Q35,"m")</f>
        <v>0</v>
      </c>
      <c r="U35" s="8" t="n">
        <f aca="false">COUNTIF(C35:Q35,"v")</f>
        <v>1</v>
      </c>
      <c r="V35" s="8" t="n">
        <f aca="false">COUNTIF(C35:Q35,"k")</f>
        <v>3</v>
      </c>
      <c r="W35" s="14" t="n">
        <f aca="false">IFERROR((COUNTIF(C35:Q35,"c")+COUNTIF(C35:Q35,"m")+COUNTIF(C35:Q35,"v"))/15,0)</f>
        <v>0.733333333333333</v>
      </c>
      <c r="X35" s="15" t="n">
        <f aca="false">IFERROR((COUNTIF(C35:Q35,"c")+COUNTIF(C35:Q35,"m")+COUNTIF(C35:Q35,"v"))/15,0)</f>
        <v>0.733333333333333</v>
      </c>
    </row>
    <row r="37" customFormat="false" ht="27.75" hidden="false" customHeight="true" outlineLevel="0" collapsed="false">
      <c r="A37" s="21" t="s">
        <v>118</v>
      </c>
      <c r="B37" s="21"/>
      <c r="D37" s="22" t="s">
        <v>119</v>
      </c>
      <c r="E37" s="23" t="n">
        <f aca="false">AVERAGE(S7:S35)</f>
        <v>12.3793103448276</v>
      </c>
      <c r="F37" s="22" t="s">
        <v>120</v>
      </c>
      <c r="G37" s="23" t="n">
        <f aca="false">AVERAGE(T7:T35)</f>
        <v>0</v>
      </c>
      <c r="H37" s="22" t="s">
        <v>121</v>
      </c>
      <c r="I37" s="23" t="n">
        <f aca="false">AVERAGE(V7:V35)</f>
        <v>0.96551724137931</v>
      </c>
      <c r="J37" s="22" t="s">
        <v>122</v>
      </c>
      <c r="K37" s="24" t="n">
        <f aca="false">AVERAGE(X7:X35)</f>
        <v>0.868965517241379</v>
      </c>
    </row>
  </sheetData>
  <mergeCells count="9">
    <mergeCell ref="A1:W1"/>
    <mergeCell ref="A2:B2"/>
    <mergeCell ref="C2:W2"/>
    <mergeCell ref="A3:B3"/>
    <mergeCell ref="C3:W3"/>
    <mergeCell ref="A4:B4"/>
    <mergeCell ref="C4:W4"/>
    <mergeCell ref="A5:W5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28"/>
  </cols>
  <sheetData>
    <row r="1" customFormat="false" ht="21.75" hidden="false" customHeight="true" outlineLevel="0" collapsed="false">
      <c r="A1" s="6" t="s">
        <v>123</v>
      </c>
      <c r="B1" s="6" t="s">
        <v>124</v>
      </c>
      <c r="C1" s="6" t="s">
        <v>125</v>
      </c>
    </row>
    <row r="2" customFormat="false" ht="21.75" hidden="false" customHeight="true" outlineLevel="0" collapsed="false">
      <c r="A2" s="25" t="s">
        <v>31</v>
      </c>
      <c r="B2" s="26" t="s">
        <v>126</v>
      </c>
      <c r="C2" s="26" t="s">
        <v>127</v>
      </c>
    </row>
    <row r="3" customFormat="false" ht="21.75" hidden="false" customHeight="true" outlineLevel="0" collapsed="false">
      <c r="A3" s="27" t="s">
        <v>128</v>
      </c>
      <c r="B3" s="26" t="s">
        <v>129</v>
      </c>
      <c r="C3" s="26" t="s">
        <v>130</v>
      </c>
    </row>
    <row r="4" customFormat="false" ht="21.75" hidden="false" customHeight="true" outlineLevel="0" collapsed="false">
      <c r="A4" s="28" t="s">
        <v>33</v>
      </c>
      <c r="B4" s="26" t="s">
        <v>131</v>
      </c>
      <c r="C4" s="26" t="s">
        <v>127</v>
      </c>
    </row>
    <row r="5" customFormat="false" ht="21.75" hidden="false" customHeight="true" outlineLevel="0" collapsed="false">
      <c r="A5" s="29" t="s">
        <v>32</v>
      </c>
      <c r="B5" s="26" t="s">
        <v>132</v>
      </c>
      <c r="C5" s="2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2026-06-26T13:39:02Z</dcterms:created>
  <dc:creator>openpyxl</dc:creator>
  <dc:description/>
  <dc:language>en-US</dc:language>
  <cp:lastModifiedBy/>
  <dcterms:modified xsi:type="dcterms:W3CDTF">2026-06-26T13:58:22Z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